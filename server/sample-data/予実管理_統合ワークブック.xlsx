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元データ" state="visible" r:id="rId4"/>
    <sheet sheetId="2" name="集計" state="visible" r:id="rId5"/>
    <sheet sheetId="3" name="帳票" state="visible" r:id="rId6"/>
  </sheets>
  <calcPr calcId="171027"/>
</workbook>
</file>

<file path=xl/sharedStrings.xml><?xml version="1.0" encoding="utf-8"?>
<sst xmlns="http://schemas.openxmlformats.org/spreadsheetml/2006/main" count="27" uniqueCount="8">
  <si>
    <t>拠点</t>
  </si>
  <si>
    <t>売上</t>
  </si>
  <si>
    <t>費用</t>
  </si>
  <si>
    <t>東京</t>
  </si>
  <si>
    <t>大阪</t>
  </si>
  <si>
    <t>名古屋</t>
  </si>
  <si>
    <t>福岡</t>
  </si>
  <si>
    <t>利益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</si>
</sst>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6241</v>
      </c>
      <c r="C2">
        <v>4094</v>
      </c>
    </row>
    <row r="3" spans="1:3" x14ac:dyDescent="0.25">
      <c r="A3" t="s">
        <v>4</v>
      </c>
      <c r="B3">
        <v>9234</v>
      </c>
      <c r="C3">
        <v>6553</v>
      </c>
    </row>
    <row r="4" spans="1:3" x14ac:dyDescent="0.25">
      <c r="A4" t="s">
        <v>5</v>
      </c>
      <c r="B4">
        <v>7778</v>
      </c>
      <c r="C4">
        <v>5498</v>
      </c>
    </row>
    <row r="5" spans="1:3" x14ac:dyDescent="0.25">
      <c r="A5" t="s">
        <v>6</v>
      </c>
      <c r="B5">
        <v>5690</v>
      </c>
      <c r="C5">
        <v>3104</v>
      </c>
    </row>
    <row r="6" spans="1:3" x14ac:dyDescent="0.25">
      <c r="A6" t="s">
        <v>3</v>
      </c>
      <c r="B6">
        <v>1442</v>
      </c>
      <c r="C6">
        <v>819</v>
      </c>
    </row>
    <row r="7" spans="1:3" x14ac:dyDescent="0.25">
      <c r="A7" t="s">
        <v>4</v>
      </c>
      <c r="B7">
        <v>3586</v>
      </c>
      <c r="C7">
        <v>2866</v>
      </c>
    </row>
    <row r="8" spans="1:3" x14ac:dyDescent="0.25">
      <c r="A8" t="s">
        <v>5</v>
      </c>
      <c r="B8">
        <v>7394</v>
      </c>
      <c r="C8">
        <v>5186</v>
      </c>
    </row>
    <row r="9" spans="1:3" x14ac:dyDescent="0.25">
      <c r="A9" t="s">
        <v>6</v>
      </c>
      <c r="B9">
        <v>4257</v>
      </c>
      <c r="C9">
        <v>2456</v>
      </c>
    </row>
    <row r="10" spans="1:3" x14ac:dyDescent="0.25">
      <c r="A10" t="s">
        <v>3</v>
      </c>
      <c r="B10">
        <v>1941</v>
      </c>
      <c r="C10">
        <v>1494</v>
      </c>
    </row>
    <row r="11" spans="1:3" x14ac:dyDescent="0.25">
      <c r="A11" t="s">
        <v>4</v>
      </c>
      <c r="B11">
        <v>8648</v>
      </c>
      <c r="C11">
        <v>6503</v>
      </c>
    </row>
    <row r="12" spans="1:3" x14ac:dyDescent="0.25">
      <c r="A12" t="s">
        <v>5</v>
      </c>
      <c r="B12">
        <v>5061</v>
      </c>
      <c r="C12">
        <v>2957</v>
      </c>
    </row>
    <row r="13" spans="1:3" x14ac:dyDescent="0.25">
      <c r="A13" t="s">
        <v>6</v>
      </c>
      <c r="B13">
        <v>8574</v>
      </c>
      <c r="C13">
        <v>4404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7</v>
      </c>
    </row>
    <row r="2" spans="1:4" x14ac:dyDescent="0.25">
      <c r="A2" t="s">
        <v>3</v>
      </c>
      <c r="B2">
        <f>SUMIF(元データ!A:A,A2,元データ!B:B)</f>
        <v>9624</v>
      </c>
      <c r="C2">
        <f>SUMIF(元データ!A:A,A2,元データ!C:C)</f>
        <v>6407</v>
      </c>
      <c r="D2">
        <f>B2-C2</f>
        <v>3217</v>
      </c>
    </row>
    <row r="3" spans="1:4" x14ac:dyDescent="0.25">
      <c r="A3" t="s">
        <v>4</v>
      </c>
      <c r="B3">
        <f>SUMIF(元データ!A:A,A3,元データ!B:B)</f>
        <v>21468</v>
      </c>
      <c r="C3">
        <f>SUMIF(元データ!A:A,A3,元データ!C:C)</f>
        <v>15922</v>
      </c>
      <c r="D3">
        <f>B3-C3</f>
        <v>5546</v>
      </c>
    </row>
    <row r="4" spans="1:4" x14ac:dyDescent="0.25">
      <c r="A4" t="s">
        <v>5</v>
      </c>
      <c r="B4">
        <f>SUMIF(元データ!A:A,A4,元データ!B:B)</f>
        <v>20233</v>
      </c>
      <c r="C4">
        <f>SUMIF(元データ!A:A,A4,元データ!C:C)</f>
        <v>13641</v>
      </c>
      <c r="D4">
        <f>B4-C4</f>
        <v>6592</v>
      </c>
    </row>
    <row r="5" spans="1:4" x14ac:dyDescent="0.25">
      <c r="A5" t="s">
        <v>6</v>
      </c>
      <c r="B5">
        <f>SUMIF(元データ!A:A,A5,元データ!B:B)</f>
        <v>18521</v>
      </c>
      <c r="C5">
        <f>SUMIF(元データ!A:A,A5,元データ!C:C)</f>
        <v>9964</v>
      </c>
      <c r="D5">
        <f>B5-C5</f>
        <v>8557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7</v>
      </c>
    </row>
    <row r="2" spans="1:4" x14ac:dyDescent="0.25">
      <c r="A2" t="str">
        <f>集計!A2</f>
        <v>東京</v>
      </c>
      <c r="B2">
        <f>集計!B2</f>
        <v>9624</v>
      </c>
      <c r="C2">
        <f>集計!C2</f>
        <v>6407</v>
      </c>
      <c r="D2">
        <f>集計!D2</f>
        <v>3217</v>
      </c>
    </row>
    <row r="3" spans="1:4" x14ac:dyDescent="0.25">
      <c r="A3" t="str">
        <f>集計!A3</f>
        <v>大阪</v>
      </c>
      <c r="B3">
        <f>集計!B3</f>
        <v>21468</v>
      </c>
      <c r="C3">
        <f>集計!C3</f>
        <v>15922</v>
      </c>
      <c r="D3">
        <f>集計!D3-500</f>
        <v>5046</v>
      </c>
    </row>
    <row r="4" spans="1:4" x14ac:dyDescent="0.25">
      <c r="A4" t="str">
        <f>集計!A4</f>
        <v>名古屋</v>
      </c>
      <c r="B4">
        <f>集計!B4</f>
        <v>20233</v>
      </c>
      <c r="C4">
        <f>集計!C4</f>
        <v>13641</v>
      </c>
      <c r="D4">
        <f>集計!D4</f>
        <v>6592</v>
      </c>
    </row>
    <row r="5" spans="1:4" x14ac:dyDescent="0.25">
      <c r="A5" t="str">
        <f>集計!A5</f>
        <v>福岡</v>
      </c>
      <c r="B5">
        <f>集計!B5</f>
        <v>18521</v>
      </c>
      <c r="C5">
        <f>集計!C5</f>
        <v>9964</v>
      </c>
      <c r="D5">
        <f>集計!D5</f>
        <v>8557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元データ</vt:lpstr>
      <vt:lpstr>集計</vt:lpstr>
      <vt:lpstr>帳票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2026-06-12T07:40:26Z</dcterms:created>
  <dcterms:modified xsi:type="dcterms:W3CDTF">2026-06-12T07:40:26Z</dcterms:modified>
</cp:coreProperties>
</file>